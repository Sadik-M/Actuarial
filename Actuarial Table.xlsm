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dik\Technical Books\VBA\"/>
    </mc:Choice>
  </mc:AlternateContent>
  <xr:revisionPtr revIDLastSave="0" documentId="13_ncr:1_{A7310920-5587-4D75-AFF1-E92BD3304EE4}" xr6:coauthVersionLast="47" xr6:coauthVersionMax="47" xr10:uidLastSave="{00000000-0000-0000-0000-000000000000}"/>
  <bookViews>
    <workbookView xWindow="-110" yWindow="-110" windowWidth="19420" windowHeight="10300" xr2:uid="{716FFF0F-E3FD-4F72-BA18-F67D54E16E0E}"/>
  </bookViews>
  <sheets>
    <sheet name="Compound Interes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I3" i="1"/>
  <c r="J3" i="1"/>
  <c r="K3" i="1"/>
  <c r="L3" i="1"/>
  <c r="M3" i="1"/>
</calcChain>
</file>

<file path=xl/sharedStrings.xml><?xml version="1.0" encoding="utf-8"?>
<sst xmlns="http://schemas.openxmlformats.org/spreadsheetml/2006/main" count="39" uniqueCount="31">
  <si>
    <t>i</t>
  </si>
  <si>
    <t>n</t>
  </si>
  <si>
    <t>(1+i)^n</t>
  </si>
  <si>
    <t>v^n</t>
  </si>
  <si>
    <t>s(n)</t>
  </si>
  <si>
    <t>a(n)</t>
  </si>
  <si>
    <t>(Ia)(n)</t>
  </si>
  <si>
    <t>(Da)(n)</t>
  </si>
  <si>
    <t>Compound Interest</t>
  </si>
  <si>
    <t>i(2)</t>
  </si>
  <si>
    <t>i(4)</t>
  </si>
  <si>
    <t>i(12)</t>
  </si>
  <si>
    <t>Delta</t>
  </si>
  <si>
    <t>(1+i)^(1/4)</t>
  </si>
  <si>
    <t>(1+i)^(1/2)</t>
  </si>
  <si>
    <t>(1+i)^(1/12)</t>
  </si>
  <si>
    <t>v</t>
  </si>
  <si>
    <t>v^(1/2)</t>
  </si>
  <si>
    <t>v^(1/12)</t>
  </si>
  <si>
    <t>v^(1/4)</t>
  </si>
  <si>
    <t>d</t>
  </si>
  <si>
    <t>d(2)</t>
  </si>
  <si>
    <t>d(4)</t>
  </si>
  <si>
    <t>d(12)</t>
  </si>
  <si>
    <t>i/i(2)</t>
  </si>
  <si>
    <t>i/i(4)</t>
  </si>
  <si>
    <t>i/i(12)</t>
  </si>
  <si>
    <t>i/delta</t>
  </si>
  <si>
    <t>i/d(2)</t>
  </si>
  <si>
    <t>i/d(4)</t>
  </si>
  <si>
    <t>i/d(12)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</si>
</sst>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"/>
    <numFmt numFmtId="166" formatCode="0.0%"/>
    <numFmt numFmtId="167" formatCode="0.000000"/>
  </numFmts>
  <fonts count="8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5" fontId="4" fillId="0" borderId="5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5" fontId="4" fillId="0" borderId="10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/>
    </xf>
    <xf numFmtId="164" fontId="5" fillId="0" borderId="6" xfId="0" applyNumberFormat="1" applyFont="1" applyBorder="1" applyAlignment="1">
      <alignment horizontal="center"/>
    </xf>
    <xf numFmtId="164" fontId="5" fillId="0" borderId="8" xfId="0" applyNumberFormat="1" applyFont="1" applyBorder="1" applyAlignment="1">
      <alignment horizontal="center"/>
    </xf>
    <xf numFmtId="164" fontId="5" fillId="0" borderId="11" xfId="0" applyNumberFormat="1" applyFont="1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165" fontId="4" fillId="3" borderId="5" xfId="0" applyNumberFormat="1" applyFont="1" applyFill="1" applyBorder="1" applyAlignment="1">
      <alignment horizontal="center" vertical="center"/>
    </xf>
    <xf numFmtId="164" fontId="4" fillId="3" borderId="5" xfId="0" applyNumberFormat="1" applyFont="1" applyFill="1" applyBorder="1" applyAlignment="1">
      <alignment horizontal="center" vertical="center"/>
    </xf>
    <xf numFmtId="164" fontId="5" fillId="3" borderId="6" xfId="0" applyNumberFormat="1" applyFont="1" applyFill="1" applyBorder="1" applyAlignment="1">
      <alignment horizontal="center"/>
    </xf>
    <xf numFmtId="165" fontId="4" fillId="3" borderId="1" xfId="0" applyNumberFormat="1" applyFont="1" applyFill="1" applyBorder="1" applyAlignment="1">
      <alignment horizontal="center" vertical="center"/>
    </xf>
    <xf numFmtId="164" fontId="4" fillId="3" borderId="1" xfId="0" applyNumberFormat="1" applyFont="1" applyFill="1" applyBorder="1" applyAlignment="1">
      <alignment horizontal="center" vertical="center"/>
    </xf>
    <xf numFmtId="164" fontId="5" fillId="3" borderId="8" xfId="0" applyNumberFormat="1" applyFont="1" applyFill="1" applyBorder="1" applyAlignment="1">
      <alignment horizontal="center"/>
    </xf>
    <xf numFmtId="165" fontId="4" fillId="3" borderId="10" xfId="0" applyNumberFormat="1" applyFont="1" applyFill="1" applyBorder="1" applyAlignment="1">
      <alignment horizontal="center" vertical="center"/>
    </xf>
    <xf numFmtId="164" fontId="4" fillId="3" borderId="10" xfId="0" applyNumberFormat="1" applyFont="1" applyFill="1" applyBorder="1" applyAlignment="1">
      <alignment horizontal="center" vertical="center"/>
    </xf>
    <xf numFmtId="164" fontId="5" fillId="3" borderId="11" xfId="0" applyNumberFormat="1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167" fontId="0" fillId="0" borderId="6" xfId="0" applyNumberFormat="1" applyBorder="1"/>
    <xf numFmtId="167" fontId="0" fillId="0" borderId="8" xfId="0" applyNumberFormat="1" applyBorder="1"/>
    <xf numFmtId="0" fontId="0" fillId="3" borderId="7" xfId="0" applyFill="1" applyBorder="1" applyAlignment="1">
      <alignment horizontal="center"/>
    </xf>
    <xf numFmtId="167" fontId="0" fillId="3" borderId="8" xfId="0" applyNumberFormat="1" applyFill="1" applyBorder="1"/>
    <xf numFmtId="0" fontId="0" fillId="3" borderId="9" xfId="0" applyFill="1" applyBorder="1" applyAlignment="1">
      <alignment horizontal="center"/>
    </xf>
    <xf numFmtId="167" fontId="0" fillId="3" borderId="11" xfId="0" applyNumberFormat="1" applyFill="1" applyBorder="1"/>
    <xf numFmtId="0" fontId="2" fillId="4" borderId="16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166" fontId="0" fillId="7" borderId="3" xfId="1" applyNumberFormat="1" applyFont="1" applyFill="1" applyBorder="1"/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12700</xdr:rowOff>
        </xdr:from>
        <xdr:to>
          <xdr:col>1</xdr:col>
          <xdr:colOff>546100</xdr:colOff>
          <xdr:row>5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47625</xdr:colOff>
      <xdr:row>1</xdr:row>
      <xdr:rowOff>111125</xdr:rowOff>
    </xdr:from>
    <xdr:to>
      <xdr:col>5</xdr:col>
      <xdr:colOff>1301750</xdr:colOff>
      <xdr:row>3</xdr:row>
      <xdr:rowOff>71437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492375" y="301625"/>
          <a:ext cx="1865313" cy="3571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400" b="1" u="sng">
              <a:solidFill>
                <a:srgbClr val="FF0000"/>
              </a:solidFill>
            </a:rPr>
            <a:t>Input n here to search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34B3D-E32B-4BBD-8A7F-03C444D7992D}">
  <sheetPr codeName="Sheet1"/>
  <dimension ref="A1:N106"/>
  <sheetViews>
    <sheetView showGridLines="0" tabSelected="1" zoomScale="80" zoomScaleNormal="80" workbookViewId="0">
      <selection activeCell="B3" sqref="B3"/>
    </sheetView>
  </sheetViews>
  <sheetFormatPr defaultRowHeight="14.5" x14ac:dyDescent="0.35"/>
  <cols>
    <col min="6" max="6" width="18.81640625" bestFit="1" customWidth="1"/>
    <col min="7" max="7" width="9" bestFit="1" customWidth="1"/>
    <col min="8" max="8" width="18.81640625" bestFit="1" customWidth="1"/>
    <col min="9" max="9" width="8.90625" bestFit="1" customWidth="1"/>
    <col min="10" max="10" width="10.08984375" bestFit="1" customWidth="1"/>
    <col min="11" max="11" width="10.26953125" bestFit="1" customWidth="1"/>
    <col min="13" max="13" width="10.6328125" style="1" bestFit="1" customWidth="1"/>
  </cols>
  <sheetData>
    <row r="1" spans="1:14" ht="15" thickBot="1" x14ac:dyDescent="0.4"/>
    <row r="2" spans="1:14" ht="16" thickBot="1" x14ac:dyDescent="0.4">
      <c r="G2" s="34" t="s">
        <v>1</v>
      </c>
      <c r="H2" s="35" t="s">
        <v>2</v>
      </c>
      <c r="I2" s="35" t="s">
        <v>3</v>
      </c>
      <c r="J2" s="35" t="s">
        <v>4</v>
      </c>
      <c r="K2" s="35" t="s">
        <v>5</v>
      </c>
      <c r="L2" s="35" t="s">
        <v>6</v>
      </c>
      <c r="M2" s="36" t="s">
        <v>7</v>
      </c>
    </row>
    <row r="3" spans="1:14" ht="15" thickBot="1" x14ac:dyDescent="0.4">
      <c r="A3" s="39" t="s">
        <v>0</v>
      </c>
      <c r="B3" s="40">
        <v>0.1</v>
      </c>
      <c r="G3" s="37">
        <v>14</v>
      </c>
      <c r="H3" s="38">
        <f>VLOOKUP(G3,E6:K106,2,FALSE)</f>
        <v>3.7974983358324144</v>
      </c>
      <c r="I3" s="38">
        <f>VLOOKUP(G3,E6:K106,3,FALSE)</f>
        <v>0.26333125430607973</v>
      </c>
      <c r="J3" s="38">
        <f>VLOOKUP(G3,E6:K106,4,FALSE)</f>
        <v>27.974983358324142</v>
      </c>
      <c r="K3" s="38">
        <f>VLOOKUP(G3,E6:K106,5,FALSE)</f>
        <v>7.3666874569392027</v>
      </c>
      <c r="L3" s="38">
        <f>VLOOKUP(G3,E6:K106,6,FALSE)</f>
        <v>44.167186423480061</v>
      </c>
      <c r="M3" s="38">
        <f>VLOOKUP(G3,E6:K106,7,FALSE)</f>
        <v>66.333125430607979</v>
      </c>
    </row>
    <row r="4" spans="1:14" ht="15" thickBot="1" x14ac:dyDescent="0.4"/>
    <row r="5" spans="1:14" ht="15" thickBot="1" x14ac:dyDescent="0.4">
      <c r="E5" s="41" t="s">
        <v>8</v>
      </c>
      <c r="F5" s="42"/>
      <c r="G5" s="42"/>
      <c r="H5" s="42"/>
      <c r="I5" s="42"/>
      <c r="J5" s="42"/>
      <c r="K5" s="43"/>
    </row>
    <row r="6" spans="1:14" ht="16" thickBot="1" x14ac:dyDescent="0.4">
      <c r="E6" s="11" t="s">
        <v>1</v>
      </c>
      <c r="F6" s="12" t="s">
        <v>2</v>
      </c>
      <c r="G6" s="12" t="s">
        <v>3</v>
      </c>
      <c r="H6" s="12" t="s">
        <v>4</v>
      </c>
      <c r="I6" s="12" t="s">
        <v>5</v>
      </c>
      <c r="J6" s="12" t="s">
        <v>6</v>
      </c>
      <c r="K6" s="13" t="s">
        <v>7</v>
      </c>
      <c r="M6" s="26" t="s">
        <v>0</v>
      </c>
      <c r="N6" s="28">
        <v>0.1</v>
      </c>
    </row>
    <row r="7" spans="1:14" ht="15.5" x14ac:dyDescent="0.35">
      <c r="E7" s="14">
        <v>1</v>
      </c>
      <c r="F7" s="17">
        <v>1.1000000000000001</v>
      </c>
      <c r="G7" s="17">
        <v>0.90909090909090906</v>
      </c>
      <c r="H7" s="18">
        <v>1.0000000000000009</v>
      </c>
      <c r="I7" s="18">
        <v>0.90909090909090939</v>
      </c>
      <c r="J7" s="18">
        <v>0.90909090909091217</v>
      </c>
      <c r="K7" s="19">
        <v>0.90909090909090651</v>
      </c>
      <c r="M7" s="27" t="s">
        <v>9</v>
      </c>
      <c r="N7" s="29">
        <v>9.7617696340303262E-2</v>
      </c>
    </row>
    <row r="8" spans="1:14" ht="15.5" x14ac:dyDescent="0.35">
      <c r="E8" s="15">
        <v>2</v>
      </c>
      <c r="F8" s="20">
        <v>1.2100000000000002</v>
      </c>
      <c r="G8" s="20">
        <v>0.82644628099173545</v>
      </c>
      <c r="H8" s="21">
        <v>2.1000000000000019</v>
      </c>
      <c r="I8" s="21">
        <v>1.7355371900826455</v>
      </c>
      <c r="J8" s="21">
        <v>2.5619834710743907</v>
      </c>
      <c r="K8" s="22">
        <v>2.6446280991735458</v>
      </c>
      <c r="M8" s="27" t="s">
        <v>10</v>
      </c>
      <c r="N8" s="29">
        <v>9.6454756337780445E-2</v>
      </c>
    </row>
    <row r="9" spans="1:14" ht="15.5" x14ac:dyDescent="0.35">
      <c r="E9" s="15">
        <v>3</v>
      </c>
      <c r="F9" s="20">
        <v>1.3310000000000004</v>
      </c>
      <c r="G9" s="20">
        <v>0.75131480090157754</v>
      </c>
      <c r="H9" s="21">
        <v>3.3100000000000041</v>
      </c>
      <c r="I9" s="21">
        <v>2.4868519909842246</v>
      </c>
      <c r="J9" s="21">
        <v>4.8159278737791427</v>
      </c>
      <c r="K9" s="22">
        <v>5.1314800901577549</v>
      </c>
      <c r="M9" s="27" t="s">
        <v>11</v>
      </c>
      <c r="N9" s="29">
        <v>9.5689685146845171E-2</v>
      </c>
    </row>
    <row r="10" spans="1:14" ht="15.5" x14ac:dyDescent="0.35">
      <c r="E10" s="15">
        <v>4</v>
      </c>
      <c r="F10" s="20">
        <v>1.4641000000000004</v>
      </c>
      <c r="G10" s="20">
        <v>0.68301345536507052</v>
      </c>
      <c r="H10" s="21">
        <v>4.6410000000000036</v>
      </c>
      <c r="I10" s="21">
        <v>3.1698654463492946</v>
      </c>
      <c r="J10" s="21">
        <v>7.5479816952394199</v>
      </c>
      <c r="K10" s="22">
        <v>8.3013455365070534</v>
      </c>
      <c r="M10" s="27"/>
      <c r="N10" s="29"/>
    </row>
    <row r="11" spans="1:14" ht="16" thickBot="1" x14ac:dyDescent="0.4">
      <c r="E11" s="16">
        <v>5</v>
      </c>
      <c r="F11" s="23">
        <v>1.6105100000000006</v>
      </c>
      <c r="G11" s="23">
        <v>0.62092132305915493</v>
      </c>
      <c r="H11" s="24">
        <v>6.1051000000000055</v>
      </c>
      <c r="I11" s="24">
        <v>3.7907867694084505</v>
      </c>
      <c r="J11" s="24">
        <v>10.652588310535208</v>
      </c>
      <c r="K11" s="25">
        <v>12.092132305915495</v>
      </c>
      <c r="M11" s="27" t="s">
        <v>12</v>
      </c>
      <c r="N11" s="29">
        <v>9.5310179804324935E-2</v>
      </c>
    </row>
    <row r="12" spans="1:14" ht="15.5" x14ac:dyDescent="0.35">
      <c r="E12" s="14">
        <v>6</v>
      </c>
      <c r="F12" s="4">
        <v>1.7715610000000008</v>
      </c>
      <c r="G12" s="4">
        <v>0.56447393005377711</v>
      </c>
      <c r="H12" s="5">
        <v>7.7156100000000079</v>
      </c>
      <c r="I12" s="5">
        <v>4.3552606994622289</v>
      </c>
      <c r="J12" s="5">
        <v>14.039431890857889</v>
      </c>
      <c r="K12" s="8">
        <v>16.447393005377712</v>
      </c>
      <c r="M12" s="27"/>
      <c r="N12" s="29"/>
    </row>
    <row r="13" spans="1:14" ht="15.5" x14ac:dyDescent="0.35">
      <c r="E13" s="15">
        <v>7</v>
      </c>
      <c r="F13" s="2">
        <v>1.9487171000000012</v>
      </c>
      <c r="G13" s="2">
        <v>0.51315811823070645</v>
      </c>
      <c r="H13" s="3">
        <v>9.4871710000000107</v>
      </c>
      <c r="I13" s="3">
        <v>4.8684188176929348</v>
      </c>
      <c r="J13" s="3">
        <v>17.631538718472836</v>
      </c>
      <c r="K13" s="9">
        <v>21.315811823070646</v>
      </c>
      <c r="M13" s="30" t="s">
        <v>14</v>
      </c>
      <c r="N13" s="31">
        <v>1.0488088481701516</v>
      </c>
    </row>
    <row r="14" spans="1:14" ht="15.5" x14ac:dyDescent="0.35">
      <c r="E14" s="15">
        <v>8</v>
      </c>
      <c r="F14" s="2">
        <v>2.1435888100000016</v>
      </c>
      <c r="G14" s="2">
        <v>0.46650738020973309</v>
      </c>
      <c r="H14" s="3">
        <v>11.435888100000016</v>
      </c>
      <c r="I14" s="3">
        <v>5.3349261979026688</v>
      </c>
      <c r="J14" s="3">
        <v>21.363597760150707</v>
      </c>
      <c r="K14" s="9">
        <v>26.650738020973311</v>
      </c>
      <c r="M14" s="30" t="s">
        <v>13</v>
      </c>
      <c r="N14" s="31">
        <v>1.0241136890844451</v>
      </c>
    </row>
    <row r="15" spans="1:14" ht="15.5" x14ac:dyDescent="0.35">
      <c r="E15" s="15">
        <v>9</v>
      </c>
      <c r="F15" s="2">
        <v>2.3579476910000019</v>
      </c>
      <c r="G15" s="2">
        <v>0.42409761837248461</v>
      </c>
      <c r="H15" s="3">
        <v>13.579476910000018</v>
      </c>
      <c r="I15" s="3">
        <v>5.7590238162751533</v>
      </c>
      <c r="J15" s="3">
        <v>25.180476325503072</v>
      </c>
      <c r="K15" s="9">
        <v>32.40976183724846</v>
      </c>
      <c r="M15" s="30" t="s">
        <v>15</v>
      </c>
      <c r="N15" s="31">
        <v>1.0079741404289038</v>
      </c>
    </row>
    <row r="16" spans="1:14" ht="16" thickBot="1" x14ac:dyDescent="0.4">
      <c r="E16" s="16">
        <v>10</v>
      </c>
      <c r="F16" s="6">
        <v>2.5937424601000023</v>
      </c>
      <c r="G16" s="6">
        <v>0.38554328942953142</v>
      </c>
      <c r="H16" s="7">
        <v>15.937424601000023</v>
      </c>
      <c r="I16" s="7">
        <v>6.1445671057046853</v>
      </c>
      <c r="J16" s="7">
        <v>29.035909219798395</v>
      </c>
      <c r="K16" s="10">
        <v>38.554328942953141</v>
      </c>
      <c r="M16" s="27"/>
      <c r="N16" s="29"/>
    </row>
    <row r="17" spans="5:14" ht="15.5" x14ac:dyDescent="0.35">
      <c r="E17" s="14">
        <v>11</v>
      </c>
      <c r="F17" s="17">
        <v>2.8531167061100025</v>
      </c>
      <c r="G17" s="17">
        <v>0.3504938994813922</v>
      </c>
      <c r="H17" s="18">
        <v>18.531167061100025</v>
      </c>
      <c r="I17" s="18">
        <v>6.495061005186078</v>
      </c>
      <c r="J17" s="18">
        <v>32.89134211409371</v>
      </c>
      <c r="K17" s="19">
        <v>45.049389948139222</v>
      </c>
      <c r="M17" s="27" t="s">
        <v>16</v>
      </c>
      <c r="N17" s="29">
        <v>0.90909090909090906</v>
      </c>
    </row>
    <row r="18" spans="5:14" ht="15.5" x14ac:dyDescent="0.35">
      <c r="E18" s="15">
        <v>12</v>
      </c>
      <c r="F18" s="20">
        <v>3.1384283767210031</v>
      </c>
      <c r="G18" s="20">
        <v>0.31863081771035651</v>
      </c>
      <c r="H18" s="21">
        <v>21.384283767210029</v>
      </c>
      <c r="I18" s="21">
        <v>6.8136918228964349</v>
      </c>
      <c r="J18" s="21">
        <v>36.714911926618001</v>
      </c>
      <c r="K18" s="22">
        <v>51.863081771035652</v>
      </c>
      <c r="M18" s="27" t="s">
        <v>17</v>
      </c>
      <c r="N18" s="29">
        <v>0.95346258924559224</v>
      </c>
    </row>
    <row r="19" spans="5:14" ht="15.5" x14ac:dyDescent="0.35">
      <c r="E19" s="15">
        <v>13</v>
      </c>
      <c r="F19" s="20">
        <v>3.4522712143931038</v>
      </c>
      <c r="G19" s="20">
        <v>0.28966437973668768</v>
      </c>
      <c r="H19" s="21">
        <v>24.522712143931038</v>
      </c>
      <c r="I19" s="21">
        <v>7.1033562026331225</v>
      </c>
      <c r="J19" s="21">
        <v>40.480548863194947</v>
      </c>
      <c r="K19" s="22">
        <v>58.966437973668768</v>
      </c>
      <c r="M19" s="27" t="s">
        <v>19</v>
      </c>
      <c r="N19" s="29">
        <v>0.97645408967631053</v>
      </c>
    </row>
    <row r="20" spans="5:14" ht="15.5" x14ac:dyDescent="0.35">
      <c r="E20" s="15">
        <v>14</v>
      </c>
      <c r="F20" s="20">
        <v>3.7974983358324144</v>
      </c>
      <c r="G20" s="20">
        <v>0.26333125430607973</v>
      </c>
      <c r="H20" s="21">
        <v>27.974983358324142</v>
      </c>
      <c r="I20" s="21">
        <v>7.3666874569392027</v>
      </c>
      <c r="J20" s="21">
        <v>44.167186423480061</v>
      </c>
      <c r="K20" s="22">
        <v>66.333125430607979</v>
      </c>
      <c r="M20" s="27" t="s">
        <v>18</v>
      </c>
      <c r="N20" s="29">
        <v>0.99208894344699095</v>
      </c>
    </row>
    <row r="21" spans="5:14" ht="16" thickBot="1" x14ac:dyDescent="0.4">
      <c r="E21" s="16">
        <v>15</v>
      </c>
      <c r="F21" s="23">
        <v>4.1772481694156562</v>
      </c>
      <c r="G21" s="23">
        <v>0.23939204936916336</v>
      </c>
      <c r="H21" s="24">
        <v>31.772481694156561</v>
      </c>
      <c r="I21" s="24">
        <v>7.6060795063083662</v>
      </c>
      <c r="J21" s="24">
        <v>47.758067164017518</v>
      </c>
      <c r="K21" s="25">
        <v>73.93920493691634</v>
      </c>
      <c r="M21" s="27"/>
      <c r="N21" s="29"/>
    </row>
    <row r="22" spans="5:14" ht="15.5" x14ac:dyDescent="0.35">
      <c r="E22" s="14">
        <v>16</v>
      </c>
      <c r="F22" s="4">
        <v>4.594972986357222</v>
      </c>
      <c r="G22" s="4">
        <v>0.2176291357901485</v>
      </c>
      <c r="H22" s="5">
        <v>35.949729863572216</v>
      </c>
      <c r="I22" s="5">
        <v>7.8237086420985147</v>
      </c>
      <c r="J22" s="5">
        <v>51.240133336659895</v>
      </c>
      <c r="K22" s="8">
        <v>81.76291357901485</v>
      </c>
      <c r="M22" s="30" t="s">
        <v>20</v>
      </c>
      <c r="N22" s="31">
        <v>9.0909090909090912E-2</v>
      </c>
    </row>
    <row r="23" spans="5:14" ht="15.5" x14ac:dyDescent="0.35">
      <c r="E23" s="15">
        <v>17</v>
      </c>
      <c r="F23" s="2">
        <v>5.054470284992945</v>
      </c>
      <c r="G23" s="2">
        <v>0.19784466890013497</v>
      </c>
      <c r="H23" s="3">
        <v>40.54470284992945</v>
      </c>
      <c r="I23" s="3">
        <v>8.0215533109986499</v>
      </c>
      <c r="J23" s="3">
        <v>54.603492707962204</v>
      </c>
      <c r="K23" s="9">
        <v>89.784466890013491</v>
      </c>
      <c r="M23" s="30" t="s">
        <v>21</v>
      </c>
      <c r="N23" s="31">
        <v>9.307482150881552E-2</v>
      </c>
    </row>
    <row r="24" spans="5:14" ht="15.5" x14ac:dyDescent="0.35">
      <c r="E24" s="15">
        <v>18</v>
      </c>
      <c r="F24" s="2">
        <v>5.5599173134922397</v>
      </c>
      <c r="G24" s="2">
        <v>0.17985878990921361</v>
      </c>
      <c r="H24" s="3">
        <v>45.599173134922395</v>
      </c>
      <c r="I24" s="3">
        <v>8.2014121009078629</v>
      </c>
      <c r="J24" s="3">
        <v>57.840950926328041</v>
      </c>
      <c r="K24" s="9">
        <v>97.985878990921364</v>
      </c>
      <c r="M24" s="30" t="s">
        <v>22</v>
      </c>
      <c r="N24" s="31">
        <v>9.4183641294757869E-2</v>
      </c>
    </row>
    <row r="25" spans="5:14" ht="15.5" x14ac:dyDescent="0.35">
      <c r="E25" s="15">
        <v>19</v>
      </c>
      <c r="F25" s="2">
        <v>6.1159090448414641</v>
      </c>
      <c r="G25" s="2">
        <v>0.16350799082655781</v>
      </c>
      <c r="H25" s="3">
        <v>51.159090448414638</v>
      </c>
      <c r="I25" s="3">
        <v>8.3649200917344206</v>
      </c>
      <c r="J25" s="3">
        <v>60.947602752032651</v>
      </c>
      <c r="K25" s="9">
        <v>106.35079908265578</v>
      </c>
      <c r="M25" s="30" t="s">
        <v>23</v>
      </c>
      <c r="N25" s="31">
        <v>9.4932678636108658E-2</v>
      </c>
    </row>
    <row r="26" spans="5:14" ht="16" thickBot="1" x14ac:dyDescent="0.4">
      <c r="E26" s="16">
        <v>20</v>
      </c>
      <c r="F26" s="6">
        <v>6.7274999493256109</v>
      </c>
      <c r="G26" s="6">
        <v>0.14864362802414344</v>
      </c>
      <c r="H26" s="7">
        <v>57.274999493256104</v>
      </c>
      <c r="I26" s="7">
        <v>8.5135637197585652</v>
      </c>
      <c r="J26" s="7">
        <v>63.920475312515528</v>
      </c>
      <c r="K26" s="10">
        <v>114.86436280241435</v>
      </c>
      <c r="M26" s="27"/>
      <c r="N26" s="29"/>
    </row>
    <row r="27" spans="5:14" ht="15.5" x14ac:dyDescent="0.35">
      <c r="E27" s="14">
        <v>21</v>
      </c>
      <c r="F27" s="17">
        <v>7.4002499442581726</v>
      </c>
      <c r="G27" s="17">
        <v>0.13513057093103947</v>
      </c>
      <c r="H27" s="18">
        <v>64.002499442581723</v>
      </c>
      <c r="I27" s="18">
        <v>8.6486942906896047</v>
      </c>
      <c r="J27" s="18">
        <v>66.758217302067365</v>
      </c>
      <c r="K27" s="19">
        <v>123.51305709310394</v>
      </c>
      <c r="M27" s="27" t="s">
        <v>24</v>
      </c>
      <c r="N27" s="29">
        <v>1.024404424085074</v>
      </c>
    </row>
    <row r="28" spans="5:14" ht="15.5" x14ac:dyDescent="0.35">
      <c r="E28" s="15">
        <v>22</v>
      </c>
      <c r="F28" s="20">
        <v>8.1402749386839908</v>
      </c>
      <c r="G28" s="20">
        <v>0.12284597357367225</v>
      </c>
      <c r="H28" s="21">
        <v>71.402749386839901</v>
      </c>
      <c r="I28" s="21">
        <v>8.7715402642632778</v>
      </c>
      <c r="J28" s="21">
        <v>69.460828720688156</v>
      </c>
      <c r="K28" s="22">
        <v>132.28459735736723</v>
      </c>
      <c r="M28" s="27" t="s">
        <v>25</v>
      </c>
      <c r="N28" s="29">
        <v>1.0367555089746354</v>
      </c>
    </row>
    <row r="29" spans="5:14" ht="15.5" x14ac:dyDescent="0.35">
      <c r="E29" s="15">
        <v>23</v>
      </c>
      <c r="F29" s="20">
        <v>8.9543024325523906</v>
      </c>
      <c r="G29" s="20">
        <v>0.11167815779424749</v>
      </c>
      <c r="H29" s="21">
        <v>79.543024325523902</v>
      </c>
      <c r="I29" s="21">
        <v>8.8832184220575243</v>
      </c>
      <c r="J29" s="21">
        <v>72.029426349955841</v>
      </c>
      <c r="K29" s="22">
        <v>141.16781577942476</v>
      </c>
      <c r="M29" s="27" t="s">
        <v>26</v>
      </c>
      <c r="N29" s="29">
        <v>1.0450447176886437</v>
      </c>
    </row>
    <row r="30" spans="5:14" ht="15.5" x14ac:dyDescent="0.35">
      <c r="E30" s="15">
        <v>24</v>
      </c>
      <c r="F30" s="20">
        <v>9.8497326758076298</v>
      </c>
      <c r="G30" s="20">
        <v>0.10152559799477044</v>
      </c>
      <c r="H30" s="21">
        <v>88.497326758076298</v>
      </c>
      <c r="I30" s="21">
        <v>8.984744020052295</v>
      </c>
      <c r="J30" s="21">
        <v>74.466040701830337</v>
      </c>
      <c r="K30" s="22">
        <v>150.15255979947705</v>
      </c>
      <c r="M30" s="27"/>
      <c r="N30" s="29"/>
    </row>
    <row r="31" spans="5:14" ht="16" thickBot="1" x14ac:dyDescent="0.4">
      <c r="E31" s="16">
        <v>25</v>
      </c>
      <c r="F31" s="23">
        <v>10.834705943388395</v>
      </c>
      <c r="G31" s="23">
        <v>9.229599817706402E-2</v>
      </c>
      <c r="H31" s="24">
        <v>98.347059433883942</v>
      </c>
      <c r="I31" s="24">
        <v>9.0770400182293596</v>
      </c>
      <c r="J31" s="24">
        <v>76.773440656256938</v>
      </c>
      <c r="K31" s="25">
        <v>159.2295998177064</v>
      </c>
      <c r="M31" s="27" t="s">
        <v>27</v>
      </c>
      <c r="N31" s="29">
        <v>1.0492058687257062</v>
      </c>
    </row>
    <row r="32" spans="5:14" ht="15.5" x14ac:dyDescent="0.35">
      <c r="E32" s="14">
        <v>26</v>
      </c>
      <c r="F32" s="4">
        <v>11.918176537727234</v>
      </c>
      <c r="G32" s="4">
        <v>8.3905452888240015E-2</v>
      </c>
      <c r="H32" s="5">
        <v>109.18176537727234</v>
      </c>
      <c r="I32" s="5">
        <v>9.1609454711175999</v>
      </c>
      <c r="J32" s="5">
        <v>78.954982431351183</v>
      </c>
      <c r="K32" s="8">
        <v>168.390545288824</v>
      </c>
      <c r="M32" s="27"/>
      <c r="N32" s="29"/>
    </row>
    <row r="33" spans="5:14" ht="15.5" x14ac:dyDescent="0.35">
      <c r="E33" s="15">
        <v>27</v>
      </c>
      <c r="F33" s="2">
        <v>13.109994191499959</v>
      </c>
      <c r="G33" s="2">
        <v>7.6277684443854549E-2</v>
      </c>
      <c r="H33" s="3">
        <v>121.09994191499959</v>
      </c>
      <c r="I33" s="3">
        <v>9.2372231555614537</v>
      </c>
      <c r="J33" s="3">
        <v>81.014479911335258</v>
      </c>
      <c r="K33" s="9">
        <v>177.62776844438545</v>
      </c>
      <c r="M33" s="30" t="s">
        <v>28</v>
      </c>
      <c r="N33" s="31">
        <v>1.0744044240850741</v>
      </c>
    </row>
    <row r="34" spans="5:14" ht="15.5" x14ac:dyDescent="0.35">
      <c r="E34" s="15">
        <v>28</v>
      </c>
      <c r="F34" s="2">
        <v>14.420993610649957</v>
      </c>
      <c r="G34" s="2">
        <v>6.9343349494413231E-2</v>
      </c>
      <c r="H34" s="3">
        <v>134.20993610649955</v>
      </c>
      <c r="I34" s="3">
        <v>9.3065665050558675</v>
      </c>
      <c r="J34" s="3">
        <v>82.956093697178829</v>
      </c>
      <c r="K34" s="9">
        <v>186.93433494944131</v>
      </c>
      <c r="M34" s="30" t="s">
        <v>29</v>
      </c>
      <c r="N34" s="31">
        <v>1.061755508974634</v>
      </c>
    </row>
    <row r="35" spans="5:14" ht="16" thickBot="1" x14ac:dyDescent="0.4">
      <c r="E35" s="15">
        <v>29</v>
      </c>
      <c r="F35" s="2">
        <v>15.863092971714952</v>
      </c>
      <c r="G35" s="2">
        <v>6.3039408631284752E-2</v>
      </c>
      <c r="H35" s="3">
        <v>148.63092971714951</v>
      </c>
      <c r="I35" s="3">
        <v>9.3696059136871526</v>
      </c>
      <c r="J35" s="3">
        <v>84.784236547486088</v>
      </c>
      <c r="K35" s="9">
        <v>196.30394086312847</v>
      </c>
      <c r="M35" s="32" t="s">
        <v>30</v>
      </c>
      <c r="N35" s="33">
        <v>1.053378051021979</v>
      </c>
    </row>
    <row r="36" spans="5:14" ht="16" thickBot="1" x14ac:dyDescent="0.4">
      <c r="E36" s="16">
        <v>30</v>
      </c>
      <c r="F36" s="6">
        <v>17.449402268886448</v>
      </c>
      <c r="G36" s="6">
        <v>5.730855330116795E-2</v>
      </c>
      <c r="H36" s="7">
        <v>164.49402268886448</v>
      </c>
      <c r="I36" s="7">
        <v>9.42691446698832</v>
      </c>
      <c r="J36" s="7">
        <v>86.503493146521137</v>
      </c>
      <c r="K36" s="10">
        <v>205.73085533011678</v>
      </c>
    </row>
    <row r="37" spans="5:14" ht="15.5" x14ac:dyDescent="0.35">
      <c r="E37" s="14">
        <v>31</v>
      </c>
      <c r="F37" s="17">
        <v>19.194342495775096</v>
      </c>
      <c r="G37" s="17">
        <v>5.2098684819243582E-2</v>
      </c>
      <c r="H37" s="18">
        <v>181.94342495775095</v>
      </c>
      <c r="I37" s="18">
        <v>9.479013151807564</v>
      </c>
      <c r="J37" s="18">
        <v>88.118552375917687</v>
      </c>
      <c r="K37" s="19">
        <v>215.20986848192436</v>
      </c>
    </row>
    <row r="38" spans="5:14" ht="15.5" x14ac:dyDescent="0.35">
      <c r="E38" s="15">
        <v>32</v>
      </c>
      <c r="F38" s="20">
        <v>21.113776745352606</v>
      </c>
      <c r="G38" s="20">
        <v>4.7362440744766893E-2</v>
      </c>
      <c r="H38" s="21">
        <v>201.13776745352604</v>
      </c>
      <c r="I38" s="21">
        <v>9.5263755925523306</v>
      </c>
      <c r="J38" s="21">
        <v>89.634150479750232</v>
      </c>
      <c r="K38" s="22">
        <v>224.73624407447667</v>
      </c>
    </row>
    <row r="39" spans="5:14" ht="15.5" x14ac:dyDescent="0.35">
      <c r="E39" s="15">
        <v>33</v>
      </c>
      <c r="F39" s="20">
        <v>23.225154419887868</v>
      </c>
      <c r="G39" s="20">
        <v>4.3056764313424443E-2</v>
      </c>
      <c r="H39" s="21">
        <v>222.25154419887866</v>
      </c>
      <c r="I39" s="21">
        <v>9.5694323568657556</v>
      </c>
      <c r="J39" s="21">
        <v>91.055023702093237</v>
      </c>
      <c r="K39" s="22">
        <v>234.30567643134245</v>
      </c>
    </row>
    <row r="40" spans="5:14" ht="15.5" x14ac:dyDescent="0.35">
      <c r="E40" s="15">
        <v>34</v>
      </c>
      <c r="F40" s="20">
        <v>25.54766986187666</v>
      </c>
      <c r="G40" s="20">
        <v>3.9142513012204033E-2</v>
      </c>
      <c r="H40" s="21">
        <v>245.47669861876659</v>
      </c>
      <c r="I40" s="21">
        <v>9.6085748698779589</v>
      </c>
      <c r="J40" s="21">
        <v>92.385869144508177</v>
      </c>
      <c r="K40" s="22">
        <v>243.91425130122039</v>
      </c>
    </row>
    <row r="41" spans="5:14" ht="16" thickBot="1" x14ac:dyDescent="0.4">
      <c r="E41" s="16">
        <v>35</v>
      </c>
      <c r="F41" s="23">
        <v>28.102436848064329</v>
      </c>
      <c r="G41" s="23">
        <v>3.5584102738367304E-2</v>
      </c>
      <c r="H41" s="24">
        <v>271.02436848064326</v>
      </c>
      <c r="I41" s="24">
        <v>9.6441589726163262</v>
      </c>
      <c r="J41" s="24">
        <v>93.631312740351035</v>
      </c>
      <c r="K41" s="25">
        <v>253.55841027383673</v>
      </c>
    </row>
    <row r="42" spans="5:14" ht="15.5" x14ac:dyDescent="0.35">
      <c r="E42" s="14">
        <v>36</v>
      </c>
      <c r="F42" s="4">
        <v>30.912680532870763</v>
      </c>
      <c r="G42" s="4">
        <v>3.2349184307606638E-2</v>
      </c>
      <c r="H42" s="5">
        <v>299.12680532870763</v>
      </c>
      <c r="I42" s="5">
        <v>9.6765081569239335</v>
      </c>
      <c r="J42" s="5">
        <v>94.795883375424864</v>
      </c>
      <c r="K42" s="8">
        <v>263.23491843076067</v>
      </c>
    </row>
    <row r="43" spans="5:14" ht="15.5" x14ac:dyDescent="0.35">
      <c r="E43" s="15">
        <v>37</v>
      </c>
      <c r="F43" s="2">
        <v>34.00394858615784</v>
      </c>
      <c r="G43" s="2">
        <v>2.9408349370551486E-2</v>
      </c>
      <c r="H43" s="3">
        <v>330.03948586157838</v>
      </c>
      <c r="I43" s="3">
        <v>9.7059165062944839</v>
      </c>
      <c r="J43" s="3">
        <v>95.883992302135283</v>
      </c>
      <c r="K43" s="9">
        <v>272.94083493705512</v>
      </c>
    </row>
    <row r="44" spans="5:14" ht="15.5" x14ac:dyDescent="0.35">
      <c r="E44" s="15">
        <v>38</v>
      </c>
      <c r="F44" s="2">
        <v>37.40434344477363</v>
      </c>
      <c r="G44" s="2">
        <v>2.673486306413771E-2</v>
      </c>
      <c r="H44" s="3">
        <v>364.04343444773627</v>
      </c>
      <c r="I44" s="3">
        <v>9.7326513693586225</v>
      </c>
      <c r="J44" s="3">
        <v>96.899917098572516</v>
      </c>
      <c r="K44" s="9">
        <v>282.67348630641374</v>
      </c>
    </row>
    <row r="45" spans="5:14" ht="15.5" x14ac:dyDescent="0.35">
      <c r="E45" s="15">
        <v>39</v>
      </c>
      <c r="F45" s="2">
        <v>41.144777789250995</v>
      </c>
      <c r="G45" s="2">
        <v>2.4304420967397919E-2</v>
      </c>
      <c r="H45" s="3">
        <v>401.44777789250992</v>
      </c>
      <c r="I45" s="3">
        <v>9.7569557903260211</v>
      </c>
      <c r="J45" s="3">
        <v>97.847789516301034</v>
      </c>
      <c r="K45" s="9">
        <v>292.4304420967398</v>
      </c>
    </row>
    <row r="46" spans="5:14" ht="16" thickBot="1" x14ac:dyDescent="0.4">
      <c r="E46" s="16">
        <v>40</v>
      </c>
      <c r="F46" s="6">
        <v>45.259255568176101</v>
      </c>
      <c r="G46" s="6">
        <v>2.2094928152179921E-2</v>
      </c>
      <c r="H46" s="7">
        <v>442.59255568176098</v>
      </c>
      <c r="I46" s="7">
        <v>9.7790507184781994</v>
      </c>
      <c r="J46" s="7">
        <v>98.731586642388223</v>
      </c>
      <c r="K46" s="10">
        <v>302.20949281521797</v>
      </c>
    </row>
    <row r="47" spans="5:14" ht="15.5" x14ac:dyDescent="0.35">
      <c r="E47" s="14">
        <v>41</v>
      </c>
      <c r="F47" s="17">
        <v>49.785181124993713</v>
      </c>
      <c r="G47" s="17">
        <v>2.0086298320163565E-2</v>
      </c>
      <c r="H47" s="18">
        <v>487.8518112499371</v>
      </c>
      <c r="I47" s="18">
        <v>9.7991370167983636</v>
      </c>
      <c r="J47" s="18">
        <v>99.555124873514941</v>
      </c>
      <c r="K47" s="19">
        <v>312.00862983201637</v>
      </c>
    </row>
    <row r="48" spans="5:14" ht="15.5" x14ac:dyDescent="0.35">
      <c r="E48" s="15">
        <v>42</v>
      </c>
      <c r="F48" s="20">
        <v>54.763699237493086</v>
      </c>
      <c r="G48" s="20">
        <v>1.8260271200148694E-2</v>
      </c>
      <c r="H48" s="21">
        <v>537.63699237493086</v>
      </c>
      <c r="I48" s="21">
        <v>9.8173972879985119</v>
      </c>
      <c r="J48" s="21">
        <v>100.32205626392118</v>
      </c>
      <c r="K48" s="22">
        <v>321.82602712001488</v>
      </c>
    </row>
    <row r="49" spans="5:11" ht="15.5" x14ac:dyDescent="0.35">
      <c r="E49" s="15">
        <v>43</v>
      </c>
      <c r="F49" s="20">
        <v>60.240069161242403</v>
      </c>
      <c r="G49" s="20">
        <v>1.6600246545589722E-2</v>
      </c>
      <c r="H49" s="21">
        <v>592.400691612424</v>
      </c>
      <c r="I49" s="21">
        <v>9.8339975345441015</v>
      </c>
      <c r="J49" s="21">
        <v>101.03586686538154</v>
      </c>
      <c r="K49" s="22">
        <v>331.66002465455898</v>
      </c>
    </row>
    <row r="50" spans="5:11" ht="15.5" x14ac:dyDescent="0.35">
      <c r="E50" s="15">
        <v>44</v>
      </c>
      <c r="F50" s="20">
        <v>66.264076077366653</v>
      </c>
      <c r="G50" s="20">
        <v>1.5091133223263381E-2</v>
      </c>
      <c r="H50" s="21">
        <v>652.64076077366644</v>
      </c>
      <c r="I50" s="21">
        <v>9.849088667767365</v>
      </c>
      <c r="J50" s="21">
        <v>101.69987672720512</v>
      </c>
      <c r="K50" s="22">
        <v>341.5091133223263</v>
      </c>
    </row>
    <row r="51" spans="5:11" ht="16" thickBot="1" x14ac:dyDescent="0.4">
      <c r="E51" s="16">
        <v>45</v>
      </c>
      <c r="F51" s="23">
        <v>72.89048368510332</v>
      </c>
      <c r="G51" s="23">
        <v>1.3719212021148527E-2</v>
      </c>
      <c r="H51" s="24">
        <v>718.90483685103311</v>
      </c>
      <c r="I51" s="24">
        <v>9.8628078797885141</v>
      </c>
      <c r="J51" s="24">
        <v>102.31724126815682</v>
      </c>
      <c r="K51" s="25">
        <v>351.37192120211483</v>
      </c>
    </row>
    <row r="52" spans="5:11" ht="15.5" x14ac:dyDescent="0.35">
      <c r="E52" s="14">
        <v>46</v>
      </c>
      <c r="F52" s="4">
        <v>80.179532053613656</v>
      </c>
      <c r="G52" s="4">
        <v>1.2472010928316842E-2</v>
      </c>
      <c r="H52" s="5">
        <v>791.7953205361365</v>
      </c>
      <c r="I52" s="5">
        <v>9.8752798907168309</v>
      </c>
      <c r="J52" s="5">
        <v>102.89095377085938</v>
      </c>
      <c r="K52" s="8">
        <v>361.24720109283169</v>
      </c>
    </row>
    <row r="53" spans="5:11" ht="15.5" x14ac:dyDescent="0.35">
      <c r="E53" s="15">
        <v>47</v>
      </c>
      <c r="F53" s="2">
        <v>88.197485258975021</v>
      </c>
      <c r="G53" s="2">
        <v>1.1338191753015309E-2</v>
      </c>
      <c r="H53" s="3">
        <v>871.97485258975018</v>
      </c>
      <c r="I53" s="3">
        <v>9.8866180824698464</v>
      </c>
      <c r="J53" s="3">
        <v>103.4238487832511</v>
      </c>
      <c r="K53" s="9">
        <v>371.13381917530154</v>
      </c>
    </row>
    <row r="54" spans="5:11" ht="15.5" x14ac:dyDescent="0.35">
      <c r="E54" s="15">
        <v>48</v>
      </c>
      <c r="F54" s="2">
        <v>97.017233784872545</v>
      </c>
      <c r="G54" s="2">
        <v>1.0307447048195735E-2</v>
      </c>
      <c r="H54" s="3">
        <v>960.17233784872542</v>
      </c>
      <c r="I54" s="3">
        <v>9.8969255295180414</v>
      </c>
      <c r="J54" s="3">
        <v>103.9186062415645</v>
      </c>
      <c r="K54" s="9">
        <v>381.03074470481954</v>
      </c>
    </row>
    <row r="55" spans="5:11" ht="15.5" x14ac:dyDescent="0.35">
      <c r="E55" s="15">
        <v>49</v>
      </c>
      <c r="F55" s="2">
        <v>106.7189571633598</v>
      </c>
      <c r="G55" s="2">
        <v>9.3704064074506682E-3</v>
      </c>
      <c r="H55" s="3">
        <v>1057.189571633598</v>
      </c>
      <c r="I55" s="3">
        <v>9.9062959359254936</v>
      </c>
      <c r="J55" s="3">
        <v>104.37775615552958</v>
      </c>
      <c r="K55" s="9">
        <v>390.93704064074507</v>
      </c>
    </row>
    <row r="56" spans="5:11" ht="16" thickBot="1" x14ac:dyDescent="0.4">
      <c r="E56" s="16">
        <v>50</v>
      </c>
      <c r="F56" s="6">
        <v>117.39085287969579</v>
      </c>
      <c r="G56" s="6">
        <v>8.5185512795006059E-3</v>
      </c>
      <c r="H56" s="7">
        <v>1163.9085287969579</v>
      </c>
      <c r="I56" s="7">
        <v>9.9148144872049926</v>
      </c>
      <c r="J56" s="7">
        <v>104.80368371950462</v>
      </c>
      <c r="K56" s="10">
        <v>400.85185512795005</v>
      </c>
    </row>
    <row r="57" spans="5:11" ht="15.5" x14ac:dyDescent="0.35">
      <c r="E57" s="14">
        <v>51</v>
      </c>
      <c r="F57" s="17">
        <v>129.12993816766539</v>
      </c>
      <c r="G57" s="17">
        <v>7.7441375268187326E-3</v>
      </c>
      <c r="H57" s="18">
        <v>1281.2993816766539</v>
      </c>
      <c r="I57" s="18">
        <v>9.9225586247318116</v>
      </c>
      <c r="J57" s="18">
        <v>105.19863473337237</v>
      </c>
      <c r="K57" s="19">
        <v>410.77441375268188</v>
      </c>
    </row>
    <row r="58" spans="5:11" ht="15.5" x14ac:dyDescent="0.35">
      <c r="E58" s="15">
        <v>52</v>
      </c>
      <c r="F58" s="20">
        <v>142.04293198443193</v>
      </c>
      <c r="G58" s="20">
        <v>7.0401250243806654E-3</v>
      </c>
      <c r="H58" s="21">
        <v>1410.4293198443193</v>
      </c>
      <c r="I58" s="21">
        <v>9.9295987497561935</v>
      </c>
      <c r="J58" s="21">
        <v>105.56472123464017</v>
      </c>
      <c r="K58" s="22">
        <v>420.70401250243805</v>
      </c>
    </row>
    <row r="59" spans="5:11" ht="15.5" x14ac:dyDescent="0.35">
      <c r="E59" s="15">
        <v>53</v>
      </c>
      <c r="F59" s="20">
        <v>156.24722518287513</v>
      </c>
      <c r="G59" s="20">
        <v>6.400113658527877E-3</v>
      </c>
      <c r="H59" s="21">
        <v>1552.4722518287513</v>
      </c>
      <c r="I59" s="21">
        <v>9.9359988634147207</v>
      </c>
      <c r="J59" s="21">
        <v>105.90392725854215</v>
      </c>
      <c r="K59" s="22">
        <v>430.64001136585279</v>
      </c>
    </row>
    <row r="60" spans="5:11" ht="15.5" x14ac:dyDescent="0.35">
      <c r="E60" s="15">
        <v>54</v>
      </c>
      <c r="F60" s="20">
        <v>171.87194770116267</v>
      </c>
      <c r="G60" s="20">
        <v>5.8182851441162513E-3</v>
      </c>
      <c r="H60" s="21">
        <v>1708.7194770116266</v>
      </c>
      <c r="I60" s="21">
        <v>9.9418171485588367</v>
      </c>
      <c r="J60" s="21">
        <v>106.21811465632443</v>
      </c>
      <c r="K60" s="22">
        <v>440.5818285144116</v>
      </c>
    </row>
    <row r="61" spans="5:11" ht="16" thickBot="1" x14ac:dyDescent="0.4">
      <c r="E61" s="16">
        <v>55</v>
      </c>
      <c r="F61" s="23">
        <v>189.05914247127893</v>
      </c>
      <c r="G61" s="23">
        <v>5.2893501310147736E-3</v>
      </c>
      <c r="H61" s="24">
        <v>1880.5914247127891</v>
      </c>
      <c r="I61" s="24">
        <v>9.9471064986898519</v>
      </c>
      <c r="J61" s="24">
        <v>106.50902891353024</v>
      </c>
      <c r="K61" s="25">
        <v>450.52893501310143</v>
      </c>
    </row>
    <row r="62" spans="5:11" ht="15.5" x14ac:dyDescent="0.35">
      <c r="E62" s="14">
        <v>56</v>
      </c>
      <c r="F62" s="4">
        <v>207.96505671840686</v>
      </c>
      <c r="G62" s="4">
        <v>4.8085001191043395E-3</v>
      </c>
      <c r="H62" s="5">
        <v>2069.6505671840682</v>
      </c>
      <c r="I62" s="5">
        <v>9.9519149988089559</v>
      </c>
      <c r="J62" s="5">
        <v>106.77830492020009</v>
      </c>
      <c r="K62" s="8">
        <v>460.48085001191043</v>
      </c>
    </row>
    <row r="63" spans="5:11" ht="15.5" x14ac:dyDescent="0.35">
      <c r="E63" s="15">
        <v>57</v>
      </c>
      <c r="F63" s="2">
        <v>228.76156239024755</v>
      </c>
      <c r="G63" s="2">
        <v>4.3713637446403083E-3</v>
      </c>
      <c r="H63" s="3">
        <v>2277.6156239024754</v>
      </c>
      <c r="I63" s="3">
        <v>9.9562863625535964</v>
      </c>
      <c r="J63" s="3">
        <v>107.02747265364458</v>
      </c>
      <c r="K63" s="9">
        <v>470.43713637446399</v>
      </c>
    </row>
    <row r="64" spans="5:11" ht="15.5" x14ac:dyDescent="0.35">
      <c r="E64" s="15">
        <v>58</v>
      </c>
      <c r="F64" s="2">
        <v>251.63771862927234</v>
      </c>
      <c r="G64" s="2">
        <v>3.9739670405820977E-3</v>
      </c>
      <c r="H64" s="3">
        <v>2506.3771862927233</v>
      </c>
      <c r="I64" s="3">
        <v>9.9602603295941776</v>
      </c>
      <c r="J64" s="3">
        <v>107.25796274199834</v>
      </c>
      <c r="K64" s="9">
        <v>480.39739670405817</v>
      </c>
    </row>
    <row r="65" spans="5:11" ht="15.5" x14ac:dyDescent="0.35">
      <c r="E65" s="15">
        <v>59</v>
      </c>
      <c r="F65" s="2">
        <v>276.8014904921996</v>
      </c>
      <c r="G65" s="2">
        <v>3.6126973096200885E-3</v>
      </c>
      <c r="H65" s="3">
        <v>2758.0149049219958</v>
      </c>
      <c r="I65" s="3">
        <v>9.9638730269037978</v>
      </c>
      <c r="J65" s="3">
        <v>107.47111188326592</v>
      </c>
      <c r="K65" s="9">
        <v>490.36126973096196</v>
      </c>
    </row>
    <row r="66" spans="5:11" ht="16" thickBot="1" x14ac:dyDescent="0.4">
      <c r="E66" s="16">
        <v>60</v>
      </c>
      <c r="F66" s="6">
        <v>304.48163954141955</v>
      </c>
      <c r="G66" s="6">
        <v>3.2842702814728075E-3</v>
      </c>
      <c r="H66" s="7">
        <v>3034.8163954141955</v>
      </c>
      <c r="I66" s="7">
        <v>9.9671572971852722</v>
      </c>
      <c r="J66" s="7">
        <v>107.66816810015429</v>
      </c>
      <c r="K66" s="10">
        <v>500.32842702814725</v>
      </c>
    </row>
    <row r="67" spans="5:11" ht="15.5" x14ac:dyDescent="0.35">
      <c r="E67" s="14">
        <v>61</v>
      </c>
      <c r="F67" s="17">
        <v>334.92980349556154</v>
      </c>
      <c r="G67" s="17">
        <v>2.9857002558843701E-3</v>
      </c>
      <c r="H67" s="18">
        <v>3339.2980349556151</v>
      </c>
      <c r="I67" s="18">
        <v>9.9701429974411564</v>
      </c>
      <c r="J67" s="18">
        <v>107.85029581576325</v>
      </c>
      <c r="K67" s="19">
        <v>510.29857002558839</v>
      </c>
    </row>
    <row r="68" spans="5:11" ht="15.5" x14ac:dyDescent="0.35">
      <c r="E68" s="15">
        <v>62</v>
      </c>
      <c r="F68" s="20">
        <v>368.42278384511775</v>
      </c>
      <c r="G68" s="20">
        <v>2.7142729598948817E-3</v>
      </c>
      <c r="H68" s="21">
        <v>3674.2278384511774</v>
      </c>
      <c r="I68" s="21">
        <v>9.9728572704010503</v>
      </c>
      <c r="J68" s="21">
        <v>108.01858073927673</v>
      </c>
      <c r="K68" s="22">
        <v>520.2714272959895</v>
      </c>
    </row>
    <row r="69" spans="5:11" ht="15.5" x14ac:dyDescent="0.35">
      <c r="E69" s="15">
        <v>63</v>
      </c>
      <c r="F69" s="20">
        <v>405.26506222962956</v>
      </c>
      <c r="G69" s="20">
        <v>2.4675208726317108E-3</v>
      </c>
      <c r="H69" s="21">
        <v>4042.6506222962953</v>
      </c>
      <c r="I69" s="21">
        <v>9.9753247912736818</v>
      </c>
      <c r="J69" s="21">
        <v>108.17403455425253</v>
      </c>
      <c r="K69" s="22">
        <v>530.24675208726319</v>
      </c>
    </row>
    <row r="70" spans="5:11" ht="15.5" x14ac:dyDescent="0.35">
      <c r="E70" s="15">
        <v>64</v>
      </c>
      <c r="F70" s="20">
        <v>445.79156845259257</v>
      </c>
      <c r="G70" s="20">
        <v>2.243200793301555E-3</v>
      </c>
      <c r="H70" s="21">
        <v>4447.9156845259258</v>
      </c>
      <c r="I70" s="21">
        <v>9.9775679920669837</v>
      </c>
      <c r="J70" s="21">
        <v>108.31759940502383</v>
      </c>
      <c r="K70" s="22">
        <v>540.22432007933014</v>
      </c>
    </row>
    <row r="71" spans="5:11" ht="16" thickBot="1" x14ac:dyDescent="0.4">
      <c r="E71" s="16">
        <v>65</v>
      </c>
      <c r="F71" s="23">
        <v>490.37072529785183</v>
      </c>
      <c r="G71" s="23">
        <v>2.0392734484559589E-3</v>
      </c>
      <c r="H71" s="24">
        <v>4893.7072529785182</v>
      </c>
      <c r="I71" s="24">
        <v>9.9796072655154404</v>
      </c>
      <c r="J71" s="24">
        <v>108.45015217917346</v>
      </c>
      <c r="K71" s="25">
        <v>550.20392734484562</v>
      </c>
    </row>
    <row r="72" spans="5:11" ht="15.5" x14ac:dyDescent="0.35">
      <c r="E72" s="14">
        <v>66</v>
      </c>
      <c r="F72" s="4">
        <v>539.40779782763707</v>
      </c>
      <c r="G72" s="4">
        <v>1.8538849531417807E-3</v>
      </c>
      <c r="H72" s="5">
        <v>5384.0779782763702</v>
      </c>
      <c r="I72" s="5">
        <v>9.9814611504685811</v>
      </c>
      <c r="J72" s="5">
        <v>108.57250858608082</v>
      </c>
      <c r="K72" s="8">
        <v>560.1853884953141</v>
      </c>
    </row>
    <row r="73" spans="5:11" ht="15.5" x14ac:dyDescent="0.35">
      <c r="E73" s="15">
        <v>67</v>
      </c>
      <c r="F73" s="2">
        <v>593.34857761040087</v>
      </c>
      <c r="G73" s="2">
        <v>1.6853499574016185E-3</v>
      </c>
      <c r="H73" s="3">
        <v>5923.4857761040084</v>
      </c>
      <c r="I73" s="3">
        <v>9.9831465004259829</v>
      </c>
      <c r="J73" s="3">
        <v>108.68542703322673</v>
      </c>
      <c r="K73" s="9">
        <v>570.16853499574017</v>
      </c>
    </row>
    <row r="74" spans="5:11" ht="15.5" x14ac:dyDescent="0.35">
      <c r="E74" s="15">
        <v>68</v>
      </c>
      <c r="F74" s="2">
        <v>652.68343537144096</v>
      </c>
      <c r="G74" s="2">
        <v>1.5321363249105621E-3</v>
      </c>
      <c r="H74" s="3">
        <v>6516.8343537144092</v>
      </c>
      <c r="I74" s="3">
        <v>9.9846786367508944</v>
      </c>
      <c r="J74" s="3">
        <v>108.78961230332064</v>
      </c>
      <c r="K74" s="9">
        <v>580.15321363249097</v>
      </c>
    </row>
    <row r="75" spans="5:11" ht="15.5" x14ac:dyDescent="0.35">
      <c r="E75" s="15">
        <v>69</v>
      </c>
      <c r="F75" s="2">
        <v>717.95177890858508</v>
      </c>
      <c r="G75" s="2">
        <v>1.3928512044641473E-3</v>
      </c>
      <c r="H75" s="3">
        <v>7169.5177890858504</v>
      </c>
      <c r="I75" s="3">
        <v>9.9860714879553587</v>
      </c>
      <c r="J75" s="3">
        <v>108.88571903642867</v>
      </c>
      <c r="K75" s="9">
        <v>590.1392851204464</v>
      </c>
    </row>
    <row r="76" spans="5:11" ht="16" thickBot="1" x14ac:dyDescent="0.4">
      <c r="E76" s="16">
        <v>70</v>
      </c>
      <c r="F76" s="6">
        <v>789.74695679944364</v>
      </c>
      <c r="G76" s="6">
        <v>1.2662283676946793E-3</v>
      </c>
      <c r="H76" s="7">
        <v>7887.4695679944361</v>
      </c>
      <c r="I76" s="7">
        <v>9.9873377163230526</v>
      </c>
      <c r="J76" s="7">
        <v>108.9743550221673</v>
      </c>
      <c r="K76" s="10">
        <v>600.12662283676946</v>
      </c>
    </row>
    <row r="77" spans="5:11" ht="15.5" x14ac:dyDescent="0.35">
      <c r="E77" s="14">
        <v>71</v>
      </c>
      <c r="F77" s="17">
        <v>868.72165247938813</v>
      </c>
      <c r="G77" s="17">
        <v>1.1511166979042539E-3</v>
      </c>
      <c r="H77" s="18">
        <v>8677.216524793881</v>
      </c>
      <c r="I77" s="18">
        <v>9.9884888330209574</v>
      </c>
      <c r="J77" s="18">
        <v>109.05608430771851</v>
      </c>
      <c r="K77" s="19">
        <v>610.11511166979039</v>
      </c>
    </row>
    <row r="78" spans="5:11" ht="15.5" x14ac:dyDescent="0.35">
      <c r="E78" s="15">
        <v>72</v>
      </c>
      <c r="F78" s="20">
        <v>955.59381772732706</v>
      </c>
      <c r="G78" s="20">
        <v>1.0464697253675034E-3</v>
      </c>
      <c r="H78" s="21">
        <v>9545.9381772732704</v>
      </c>
      <c r="I78" s="21">
        <v>9.9895353027463241</v>
      </c>
      <c r="J78" s="21">
        <v>109.13143012794497</v>
      </c>
      <c r="K78" s="22">
        <v>620.10464697253667</v>
      </c>
    </row>
    <row r="79" spans="5:11" ht="15.5" x14ac:dyDescent="0.35">
      <c r="E79" s="15">
        <v>73</v>
      </c>
      <c r="F79" s="20">
        <v>1051.1531995000598</v>
      </c>
      <c r="G79" s="20">
        <v>9.5133611397045753E-4</v>
      </c>
      <c r="H79" s="21">
        <v>10501.531995000598</v>
      </c>
      <c r="I79" s="21">
        <v>9.9904866388602951</v>
      </c>
      <c r="J79" s="21">
        <v>109.20087766426481</v>
      </c>
      <c r="K79" s="22">
        <v>630.09513361139705</v>
      </c>
    </row>
    <row r="80" spans="5:11" ht="15.5" x14ac:dyDescent="0.35">
      <c r="E80" s="15">
        <v>74</v>
      </c>
      <c r="F80" s="20">
        <v>1156.2685194500659</v>
      </c>
      <c r="G80" s="20">
        <v>8.6485101270041595E-4</v>
      </c>
      <c r="H80" s="21">
        <v>11552.685194500658</v>
      </c>
      <c r="I80" s="21">
        <v>9.9913514898729954</v>
      </c>
      <c r="J80" s="21">
        <v>109.26487663920463</v>
      </c>
      <c r="K80" s="22">
        <v>640.08648510127</v>
      </c>
    </row>
    <row r="81" spans="5:11" ht="16" thickBot="1" x14ac:dyDescent="0.4">
      <c r="E81" s="16">
        <v>75</v>
      </c>
      <c r="F81" s="23">
        <v>1271.8953713950725</v>
      </c>
      <c r="G81" s="23">
        <v>7.862281933640144E-4</v>
      </c>
      <c r="H81" s="24">
        <v>12708.953713950725</v>
      </c>
      <c r="I81" s="24">
        <v>9.9921377180663598</v>
      </c>
      <c r="J81" s="24">
        <v>109.32384375370694</v>
      </c>
      <c r="K81" s="25">
        <v>650.07862281933637</v>
      </c>
    </row>
    <row r="82" spans="5:11" ht="15.5" x14ac:dyDescent="0.35">
      <c r="E82" s="14">
        <v>76</v>
      </c>
      <c r="F82" s="4">
        <v>1399.0849085345799</v>
      </c>
      <c r="G82" s="4">
        <v>7.1475290305819488E-4</v>
      </c>
      <c r="H82" s="5">
        <v>13980.849085345799</v>
      </c>
      <c r="I82" s="5">
        <v>9.9928524709694173</v>
      </c>
      <c r="J82" s="5">
        <v>109.37816497433936</v>
      </c>
      <c r="K82" s="8">
        <v>660.07147529030578</v>
      </c>
    </row>
    <row r="83" spans="5:11" ht="15.5" x14ac:dyDescent="0.35">
      <c r="E83" s="15">
        <v>77</v>
      </c>
      <c r="F83" s="2">
        <v>1538.9933993880381</v>
      </c>
      <c r="G83" s="2">
        <v>6.4977536641654067E-4</v>
      </c>
      <c r="H83" s="3">
        <v>15379.933993880381</v>
      </c>
      <c r="I83" s="3">
        <v>9.9935022463358347</v>
      </c>
      <c r="J83" s="3">
        <v>109.42819767755343</v>
      </c>
      <c r="K83" s="9">
        <v>670.06497753664166</v>
      </c>
    </row>
    <row r="84" spans="5:11" ht="15.5" x14ac:dyDescent="0.35">
      <c r="E84" s="15">
        <v>78</v>
      </c>
      <c r="F84" s="2">
        <v>1692.892739326842</v>
      </c>
      <c r="G84" s="2">
        <v>5.9070487856049156E-4</v>
      </c>
      <c r="H84" s="3">
        <v>16918.927393268419</v>
      </c>
      <c r="I84" s="3">
        <v>9.9940929512143946</v>
      </c>
      <c r="J84" s="3">
        <v>109.47427265808115</v>
      </c>
      <c r="K84" s="9">
        <v>680.05907048785605</v>
      </c>
    </row>
    <row r="85" spans="5:11" ht="15.5" x14ac:dyDescent="0.35">
      <c r="E85" s="15">
        <v>79</v>
      </c>
      <c r="F85" s="2">
        <v>1862.1820132595262</v>
      </c>
      <c r="G85" s="2">
        <v>5.3700443505499225E-4</v>
      </c>
      <c r="H85" s="3">
        <v>18611.820132595261</v>
      </c>
      <c r="I85" s="3">
        <v>9.9946299556494491</v>
      </c>
      <c r="J85" s="3">
        <v>109.5166960084505</v>
      </c>
      <c r="K85" s="9">
        <v>690.05370044350548</v>
      </c>
    </row>
    <row r="86" spans="5:11" ht="16" thickBot="1" x14ac:dyDescent="0.4">
      <c r="E86" s="16">
        <v>80</v>
      </c>
      <c r="F86" s="6">
        <v>2048.4002145854793</v>
      </c>
      <c r="G86" s="6">
        <v>4.8818585004999288E-4</v>
      </c>
      <c r="H86" s="7">
        <v>20474.002145854793</v>
      </c>
      <c r="I86" s="7">
        <v>9.9951181414994998</v>
      </c>
      <c r="J86" s="7">
        <v>109.5557508764545</v>
      </c>
      <c r="K86" s="10">
        <v>700.04881858500494</v>
      </c>
    </row>
    <row r="87" spans="5:11" ht="15.5" x14ac:dyDescent="0.35">
      <c r="E87" s="14">
        <v>81</v>
      </c>
      <c r="F87" s="17">
        <v>2253.2402360440274</v>
      </c>
      <c r="G87" s="17">
        <v>4.4380531822726623E-4</v>
      </c>
      <c r="H87" s="18">
        <v>22522.402360440272</v>
      </c>
      <c r="I87" s="18">
        <v>9.9955619468177268</v>
      </c>
      <c r="J87" s="18">
        <v>109.59169910723091</v>
      </c>
      <c r="K87" s="19">
        <v>710.04438053182264</v>
      </c>
    </row>
    <row r="88" spans="5:11" ht="15.5" x14ac:dyDescent="0.35">
      <c r="E88" s="15">
        <v>82</v>
      </c>
      <c r="F88" s="20">
        <v>2478.5642596484299</v>
      </c>
      <c r="G88" s="20">
        <v>4.0345938020660562E-4</v>
      </c>
      <c r="H88" s="21">
        <v>24775.642596484297</v>
      </c>
      <c r="I88" s="21">
        <v>9.9959654061979339</v>
      </c>
      <c r="J88" s="21">
        <v>109.62478277640784</v>
      </c>
      <c r="K88" s="22">
        <v>720.04034593802066</v>
      </c>
    </row>
    <row r="89" spans="5:11" ht="15.5" x14ac:dyDescent="0.35">
      <c r="E89" s="15">
        <v>83</v>
      </c>
      <c r="F89" s="20">
        <v>2726.4206856132732</v>
      </c>
      <c r="G89" s="20">
        <v>3.6678125473327782E-4</v>
      </c>
      <c r="H89" s="21">
        <v>27254.206856132732</v>
      </c>
      <c r="I89" s="21">
        <v>9.9963321874526674</v>
      </c>
      <c r="J89" s="21">
        <v>109.65522562055071</v>
      </c>
      <c r="K89" s="22">
        <v>730.03667812547326</v>
      </c>
    </row>
    <row r="90" spans="5:11" ht="15.5" x14ac:dyDescent="0.35">
      <c r="E90" s="15">
        <v>84</v>
      </c>
      <c r="F90" s="20">
        <v>2999.0627541746007</v>
      </c>
      <c r="G90" s="20">
        <v>3.3343750430297981E-4</v>
      </c>
      <c r="H90" s="21">
        <v>29980.627541746006</v>
      </c>
      <c r="I90" s="21">
        <v>9.9966656249569699</v>
      </c>
      <c r="J90" s="21">
        <v>109.68323437091216</v>
      </c>
      <c r="K90" s="22">
        <v>740.03334375043028</v>
      </c>
    </row>
    <row r="91" spans="5:11" ht="16" thickBot="1" x14ac:dyDescent="0.4">
      <c r="E91" s="16">
        <v>85</v>
      </c>
      <c r="F91" s="23">
        <v>3298.9690295920614</v>
      </c>
      <c r="G91" s="23">
        <v>3.0312500391179982E-4</v>
      </c>
      <c r="H91" s="24">
        <v>32979.690295920613</v>
      </c>
      <c r="I91" s="24">
        <v>9.9969687499608817</v>
      </c>
      <c r="J91" s="24">
        <v>109.70899999624466</v>
      </c>
      <c r="K91" s="25">
        <v>750.03031250039112</v>
      </c>
    </row>
    <row r="92" spans="5:11" ht="15.5" x14ac:dyDescent="0.35">
      <c r="E92" s="14">
        <v>86</v>
      </c>
      <c r="F92" s="4">
        <v>3628.8659325512676</v>
      </c>
      <c r="G92" s="4">
        <v>2.7556818537436344E-4</v>
      </c>
      <c r="H92" s="5">
        <v>36278.659325512672</v>
      </c>
      <c r="I92" s="5">
        <v>9.9972443181462562</v>
      </c>
      <c r="J92" s="5">
        <v>109.73269886018686</v>
      </c>
      <c r="K92" s="8">
        <v>760.02755681853739</v>
      </c>
    </row>
    <row r="93" spans="5:11" ht="15.5" x14ac:dyDescent="0.35">
      <c r="E93" s="15">
        <v>87</v>
      </c>
      <c r="F93" s="2">
        <v>3991.7525258063947</v>
      </c>
      <c r="G93" s="2">
        <v>2.5051653215851219E-4</v>
      </c>
      <c r="H93" s="3">
        <v>39907.525258063943</v>
      </c>
      <c r="I93" s="3">
        <v>9.9974948346784149</v>
      </c>
      <c r="J93" s="3">
        <v>109.75449379848465</v>
      </c>
      <c r="K93" s="9">
        <v>770.02505165321577</v>
      </c>
    </row>
    <row r="94" spans="5:11" ht="15.5" x14ac:dyDescent="0.35">
      <c r="E94" s="15">
        <v>88</v>
      </c>
      <c r="F94" s="2">
        <v>4390.9277783870348</v>
      </c>
      <c r="G94" s="2">
        <v>2.2774230196228381E-4</v>
      </c>
      <c r="H94" s="3">
        <v>43899.277783870348</v>
      </c>
      <c r="I94" s="3">
        <v>9.9977225769803759</v>
      </c>
      <c r="J94" s="3">
        <v>109.77453512105733</v>
      </c>
      <c r="K94" s="9">
        <v>780.02277423019621</v>
      </c>
    </row>
    <row r="95" spans="5:11" ht="15.5" x14ac:dyDescent="0.35">
      <c r="E95" s="15">
        <v>89</v>
      </c>
      <c r="F95" s="2">
        <v>4830.0205562257388</v>
      </c>
      <c r="G95" s="2">
        <v>2.0703845632934889E-4</v>
      </c>
      <c r="H95" s="3">
        <v>48290.205562257383</v>
      </c>
      <c r="I95" s="3">
        <v>9.9979296154367052</v>
      </c>
      <c r="J95" s="3">
        <v>109.79296154367064</v>
      </c>
      <c r="K95" s="9">
        <v>790.02070384563285</v>
      </c>
    </row>
    <row r="96" spans="5:11" ht="16" thickBot="1" x14ac:dyDescent="0.4">
      <c r="E96" s="16">
        <v>90</v>
      </c>
      <c r="F96" s="6">
        <v>5313.0226118483124</v>
      </c>
      <c r="G96" s="6">
        <v>1.8821677848122623E-4</v>
      </c>
      <c r="H96" s="7">
        <v>53120.226118483122</v>
      </c>
      <c r="I96" s="7">
        <v>9.998117832215188</v>
      </c>
      <c r="J96" s="7">
        <v>109.80990105373395</v>
      </c>
      <c r="K96" s="10">
        <v>800.01882167784811</v>
      </c>
    </row>
    <row r="97" spans="5:11" ht="15.5" x14ac:dyDescent="0.35">
      <c r="E97" s="14">
        <v>91</v>
      </c>
      <c r="F97" s="17">
        <v>5844.3248730331443</v>
      </c>
      <c r="G97" s="17">
        <v>1.7110616225566021E-4</v>
      </c>
      <c r="H97" s="18">
        <v>58433.248730331441</v>
      </c>
      <c r="I97" s="18">
        <v>9.998288938377442</v>
      </c>
      <c r="J97" s="18">
        <v>109.82547171449922</v>
      </c>
      <c r="K97" s="19">
        <v>810.01711061622552</v>
      </c>
    </row>
    <row r="98" spans="5:11" ht="15.5" x14ac:dyDescent="0.35">
      <c r="E98" s="15">
        <v>92</v>
      </c>
      <c r="F98" s="20">
        <v>6428.7573603364599</v>
      </c>
      <c r="G98" s="20">
        <v>1.5555105659605472E-4</v>
      </c>
      <c r="H98" s="21">
        <v>64277.573603364595</v>
      </c>
      <c r="I98" s="21">
        <v>9.9984444894340392</v>
      </c>
      <c r="J98" s="21">
        <v>109.83978241170605</v>
      </c>
      <c r="K98" s="22">
        <v>820.01555510565959</v>
      </c>
    </row>
    <row r="99" spans="5:11" ht="15.5" x14ac:dyDescent="0.35">
      <c r="E99" s="15">
        <v>93</v>
      </c>
      <c r="F99" s="20">
        <v>7071.6330963701057</v>
      </c>
      <c r="G99" s="20">
        <v>1.4141005145095883E-4</v>
      </c>
      <c r="H99" s="21">
        <v>70706.330963701053</v>
      </c>
      <c r="I99" s="21">
        <v>9.998585899485489</v>
      </c>
      <c r="J99" s="21">
        <v>109.85293354649099</v>
      </c>
      <c r="K99" s="22">
        <v>830.01414100514501</v>
      </c>
    </row>
    <row r="100" spans="5:11" ht="15.5" x14ac:dyDescent="0.35">
      <c r="E100" s="15">
        <v>94</v>
      </c>
      <c r="F100" s="20">
        <v>7778.7964060071172</v>
      </c>
      <c r="G100" s="20">
        <v>1.2855459222814439E-4</v>
      </c>
      <c r="H100" s="21">
        <v>77777.964060071172</v>
      </c>
      <c r="I100" s="21">
        <v>9.9987144540777173</v>
      </c>
      <c r="J100" s="21">
        <v>109.86501767816044</v>
      </c>
      <c r="K100" s="22">
        <v>840.01285545922281</v>
      </c>
    </row>
    <row r="101" spans="5:11" ht="16" thickBot="1" x14ac:dyDescent="0.4">
      <c r="E101" s="16">
        <v>95</v>
      </c>
      <c r="F101" s="23">
        <v>8556.6760466078304</v>
      </c>
      <c r="G101" s="23">
        <v>1.1686781111649488E-4</v>
      </c>
      <c r="H101" s="24">
        <v>85556.760466078296</v>
      </c>
      <c r="I101" s="24">
        <v>9.9988313218888347</v>
      </c>
      <c r="J101" s="24">
        <v>109.8761201202165</v>
      </c>
      <c r="K101" s="25">
        <v>850.01168678111162</v>
      </c>
    </row>
    <row r="102" spans="5:11" ht="15.5" x14ac:dyDescent="0.35">
      <c r="E102" s="14">
        <v>96</v>
      </c>
      <c r="F102" s="4">
        <v>9412.343651268613</v>
      </c>
      <c r="G102" s="4">
        <v>1.0624346465135898E-4</v>
      </c>
      <c r="H102" s="5">
        <v>94113.436512686123</v>
      </c>
      <c r="I102" s="5">
        <v>9.9989375653534864</v>
      </c>
      <c r="J102" s="5">
        <v>109.88631949282303</v>
      </c>
      <c r="K102" s="8">
        <v>860.01062434646508</v>
      </c>
    </row>
    <row r="103" spans="5:11" ht="15.5" x14ac:dyDescent="0.35">
      <c r="E103" s="15">
        <v>97</v>
      </c>
      <c r="F103" s="2">
        <v>10353.578016395475</v>
      </c>
      <c r="G103" s="2">
        <v>9.6584967864871794E-5</v>
      </c>
      <c r="H103" s="3">
        <v>103525.78016395474</v>
      </c>
      <c r="I103" s="3">
        <v>9.99903415032135</v>
      </c>
      <c r="J103" s="3">
        <v>109.89568823470593</v>
      </c>
      <c r="K103" s="9">
        <v>870.00965849678641</v>
      </c>
    </row>
    <row r="104" spans="5:11" ht="15.5" x14ac:dyDescent="0.35">
      <c r="E104" s="15">
        <v>98</v>
      </c>
      <c r="F104" s="2">
        <v>11388.935818035025</v>
      </c>
      <c r="G104" s="2">
        <v>8.780451624079252E-5</v>
      </c>
      <c r="H104" s="3">
        <v>113879.35818035025</v>
      </c>
      <c r="I104" s="3">
        <v>9.9991219548375909</v>
      </c>
      <c r="J104" s="3">
        <v>109.90429307729752</v>
      </c>
      <c r="K104" s="9">
        <v>880.00878045162403</v>
      </c>
    </row>
    <row r="105" spans="5:11" ht="15.5" x14ac:dyDescent="0.35">
      <c r="E105" s="15">
        <v>99</v>
      </c>
      <c r="F105" s="2">
        <v>12527.829399838527</v>
      </c>
      <c r="G105" s="2">
        <v>7.9822287491629565E-5</v>
      </c>
      <c r="H105" s="3">
        <v>125268.29399838527</v>
      </c>
      <c r="I105" s="3">
        <v>9.9992017771250836</v>
      </c>
      <c r="J105" s="3">
        <v>109.91219548375919</v>
      </c>
      <c r="K105" s="9">
        <v>890.00798222874914</v>
      </c>
    </row>
    <row r="106" spans="5:11" ht="16" thickBot="1" x14ac:dyDescent="0.4">
      <c r="E106" s="16">
        <v>100</v>
      </c>
      <c r="F106" s="6">
        <v>13780.612339822381</v>
      </c>
      <c r="G106" s="6">
        <v>7.2565715901481414E-5</v>
      </c>
      <c r="H106" s="7">
        <v>137796.1233982238</v>
      </c>
      <c r="I106" s="7">
        <v>9.9992743428409838</v>
      </c>
      <c r="J106" s="7">
        <v>109.91945205534934</v>
      </c>
      <c r="K106" s="10">
        <v>900.00725657159012</v>
      </c>
    </row>
  </sheetData>
  <mergeCells count="1">
    <mergeCell ref="E5:K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ound_Interest">
                <anchor moveWithCells="1" sizeWithCells="1">
                  <from>
                    <xdr:col>0</xdr:col>
                    <xdr:colOff>0</xdr:colOff>
                    <xdr:row>4</xdr:row>
                    <xdr:rowOff>12700</xdr:rowOff>
                  </from>
                  <to>
                    <xdr:col>1</xdr:col>
                    <xdr:colOff>546100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Compound Interest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Sadik</dc:creator>
  <cp:lastModifiedBy>Sadik</cp:lastModifiedBy>
  <dcterms:created xsi:type="dcterms:W3CDTF">2021-10-22T04:56:11Z</dcterms:created>
  <dcterms:modified xsi:type="dcterms:W3CDTF">2021-12-13T19:22:12Z</dcterms:modified>
</cp:coreProperties>
</file>